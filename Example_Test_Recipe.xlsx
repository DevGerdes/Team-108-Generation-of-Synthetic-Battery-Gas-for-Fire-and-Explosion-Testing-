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8500da1c505d51b/Desktop/Senior Design/Team-108-Generation-of-Synthetic-Battery-Gas-for-Fire-and-Explosion-Testing-/"/>
    </mc:Choice>
  </mc:AlternateContent>
  <xr:revisionPtr revIDLastSave="0" documentId="8_{7893C657-E207-4CF8-98A8-1C7CA93FFE0A}" xr6:coauthVersionLast="47" xr6:coauthVersionMax="47" xr10:uidLastSave="{00000000-0000-0000-0000-000000000000}"/>
  <bookViews>
    <workbookView xWindow="-110" yWindow="-110" windowWidth="25820" windowHeight="15500" xr2:uid="{2CE868BB-4CDE-422B-A877-E4D21E68C3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16" i="1"/>
  <c r="M17" i="1"/>
  <c r="M18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M5" i="1"/>
  <c r="L5" i="1"/>
  <c r="J5" i="1"/>
  <c r="I5" i="1"/>
</calcChain>
</file>

<file path=xl/sharedStrings.xml><?xml version="1.0" encoding="utf-8"?>
<sst xmlns="http://schemas.openxmlformats.org/spreadsheetml/2006/main" count="22" uniqueCount="16">
  <si>
    <t>Time (s)</t>
  </si>
  <si>
    <t>H2</t>
  </si>
  <si>
    <t>CO</t>
  </si>
  <si>
    <t>CO2</t>
  </si>
  <si>
    <t>C2H4</t>
  </si>
  <si>
    <t>CH4</t>
  </si>
  <si>
    <t>N2</t>
  </si>
  <si>
    <t>Heat Release Rate (kW)</t>
  </si>
  <si>
    <t>H2 SLPM</t>
  </si>
  <si>
    <t>CO SLPM</t>
  </si>
  <si>
    <t>CO2 SLPM</t>
  </si>
  <si>
    <t>C2H4 SLPM</t>
  </si>
  <si>
    <t>CH4 SLPM</t>
  </si>
  <si>
    <t>N2 SLPM</t>
  </si>
  <si>
    <t>Heat of Combustion (kJ/kg)</t>
  </si>
  <si>
    <t>Fuel Density at STP (g/L)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</si>
</sst>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scheme val="minor"/>
    </font>
    <font>
      <b/>
      <sz val="11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6">
    <xf numFmtId="0" fontId="0" fillId="0" borderId="0" xfId="0"/>
    <xf numFmtId="0" fontId="2" fillId="3" borderId="2" xfId="2"/>
    <xf numFmtId="0" fontId="2" fillId="3" borderId="2" xfId="2" applyAlignment="1">
      <alignment wrapText="1"/>
    </xf>
    <xf numFmtId="0" fontId="1" fillId="2" borderId="1" xfId="1"/>
    <xf numFmtId="0" fontId="2" fillId="3" borderId="2" xfId="2" applyAlignment="1">
      <alignment horizontal="center" vertical="center"/>
    </xf>
    <xf numFmtId="0" fontId="2" fillId="3" borderId="2" xfId="2" applyAlignment="1">
      <alignment horizontal="center" vertical="center" wrapText="1"/>
    </xf>
  </cellXfs>
  <cellStyles count="3">
    <cellStyle name="Check Cell" xfId="2" builtinId="23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A373-0027-4370-B8D0-F88183E8D924}">
  <dimension ref="A1:N18"/>
  <sheetViews>
    <sheetView tabSelected="1" topLeftCell="A2" workbookViewId="0">
      <selection activeCell="F29" sqref="F29"/>
    </sheetView>
  </sheetViews>
  <sheetFormatPr defaultRowHeight="14.5" x14ac:dyDescent="0.35"/>
  <cols>
    <col min="1" max="1" width="17.54296875" customWidth="1"/>
    <col min="8" max="8" width="19.81640625" bestFit="1" customWidth="1"/>
    <col min="9" max="9" width="14.54296875" customWidth="1"/>
    <col min="10" max="10" width="13.54296875" customWidth="1"/>
    <col min="11" max="12" width="13.81640625" customWidth="1"/>
    <col min="13" max="13" width="14.1796875" customWidth="1"/>
  </cols>
  <sheetData>
    <row r="1" spans="1:14" ht="15.5" thickTop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15.5" thickTop="1" thickBot="1" x14ac:dyDescent="0.4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5"/>
      <c r="I2" s="5"/>
      <c r="J2" s="4"/>
      <c r="K2" s="4"/>
      <c r="L2" s="4"/>
      <c r="M2" s="4"/>
      <c r="N2" s="4"/>
    </row>
    <row r="3" spans="1:14" ht="30" thickTop="1" thickBot="1" x14ac:dyDescent="0.4">
      <c r="A3" s="2" t="s">
        <v>14</v>
      </c>
      <c r="B3" s="1">
        <v>141584</v>
      </c>
      <c r="C3" s="1">
        <v>10104</v>
      </c>
      <c r="D3" s="1">
        <v>0</v>
      </c>
      <c r="E3" s="1">
        <v>50285</v>
      </c>
      <c r="F3" s="1">
        <v>55514</v>
      </c>
      <c r="G3" s="1">
        <v>0</v>
      </c>
      <c r="H3" s="5"/>
      <c r="I3" s="5"/>
      <c r="J3" s="4"/>
      <c r="K3" s="4"/>
      <c r="L3" s="4"/>
      <c r="M3" s="4"/>
      <c r="N3" s="4"/>
    </row>
    <row r="4" spans="1:14" ht="29" x14ac:dyDescent="0.35">
      <c r="A4" s="2" t="s">
        <v>15</v>
      </c>
      <c r="B4" s="1">
        <v>8.9899999999999994E-2</v>
      </c>
      <c r="C4" s="1">
        <v>1.145</v>
      </c>
      <c r="D4" s="1">
        <v>1.96</v>
      </c>
      <c r="E4" s="1">
        <v>0.71679999999999999</v>
      </c>
      <c r="F4" s="1">
        <v>1.1779999999999999</v>
      </c>
      <c r="G4" s="1">
        <v>1.2490000000000001</v>
      </c>
      <c r="H4" s="5"/>
      <c r="I4" s="5"/>
      <c r="J4" s="4"/>
      <c r="K4" s="4"/>
      <c r="L4" s="4"/>
      <c r="M4" s="4"/>
      <c r="N4" s="4"/>
    </row>
    <row r="5" spans="1:14" x14ac:dyDescent="0.35">
      <c r="A5" s="3">
        <v>0</v>
      </c>
      <c r="B5" s="3">
        <v>0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3">
        <v>100</v>
      </c>
      <c r="I5" s="3">
        <f>(B5*(H5/$B$3)*60000)/$B$4</f>
        <v>0</v>
      </c>
      <c r="J5" s="3">
        <f>(C5*(H5/$C$3)*60000)/$C$4</f>
        <v>0</v>
      </c>
      <c r="K5" s="3"/>
      <c r="L5" s="3">
        <f>(E5*(H5/$E$3)*60000)/$E$4</f>
        <v>0</v>
      </c>
      <c r="M5" s="3">
        <f>(F5*(H5/$F$3)*60000)/$F$4</f>
        <v>91.749443524333458</v>
      </c>
      <c r="N5" s="3"/>
    </row>
    <row r="6" spans="1:14" x14ac:dyDescent="0.35">
      <c r="A6" s="3">
        <v>1</v>
      </c>
      <c r="B6" s="3">
        <v>0.2</v>
      </c>
      <c r="C6" s="3">
        <v>0.2</v>
      </c>
      <c r="D6" s="3">
        <v>0.3</v>
      </c>
      <c r="E6" s="3">
        <v>0.1</v>
      </c>
      <c r="F6" s="3">
        <v>0.2</v>
      </c>
      <c r="G6" s="3">
        <v>0</v>
      </c>
      <c r="H6" s="3">
        <v>30</v>
      </c>
      <c r="I6" s="3">
        <f t="shared" ref="I6:I18" si="0">(B6*(H6/$B$3)*60000)/$B$4</f>
        <v>28.28320564618263</v>
      </c>
      <c r="J6" s="3">
        <f t="shared" ref="J6:J18" si="1">(C6*(H6/$C$3)*60000)/$C$4</f>
        <v>31.117426796253465</v>
      </c>
      <c r="K6" s="3"/>
      <c r="L6" s="3">
        <f t="shared" ref="L6:L18" si="2">(E6*(H6/$E$3)*60000)/$E$4</f>
        <v>4.9938564468245286</v>
      </c>
      <c r="M6" s="3">
        <f t="shared" ref="M6:M17" si="3">(F6*(H6/$F$3)*60000)/$F$4</f>
        <v>5.5049666114600075</v>
      </c>
      <c r="N6" s="3"/>
    </row>
    <row r="7" spans="1:14" x14ac:dyDescent="0.35">
      <c r="A7" s="3">
        <v>2</v>
      </c>
      <c r="B7" s="3">
        <v>0.3</v>
      </c>
      <c r="C7" s="3">
        <v>0.1</v>
      </c>
      <c r="D7" s="3">
        <v>0.3</v>
      </c>
      <c r="E7" s="3">
        <v>0.1</v>
      </c>
      <c r="F7" s="3">
        <v>0.2</v>
      </c>
      <c r="G7" s="3">
        <v>0</v>
      </c>
      <c r="H7" s="3">
        <v>50</v>
      </c>
      <c r="I7" s="3">
        <f t="shared" si="0"/>
        <v>70.708014115456578</v>
      </c>
      <c r="J7" s="3">
        <f t="shared" si="1"/>
        <v>25.931188996877882</v>
      </c>
      <c r="K7" s="3"/>
      <c r="L7" s="3">
        <f t="shared" si="2"/>
        <v>8.3230940780408815</v>
      </c>
      <c r="M7" s="3">
        <f t="shared" si="3"/>
        <v>9.1749443524333465</v>
      </c>
      <c r="N7" s="3"/>
    </row>
    <row r="8" spans="1:14" x14ac:dyDescent="0.35">
      <c r="A8" s="3">
        <v>3</v>
      </c>
      <c r="B8" s="3">
        <v>0.25</v>
      </c>
      <c r="C8" s="3">
        <v>0.1</v>
      </c>
      <c r="D8" s="3">
        <v>0.35</v>
      </c>
      <c r="E8" s="3">
        <v>0.1</v>
      </c>
      <c r="F8" s="3">
        <v>0.2</v>
      </c>
      <c r="G8" s="3">
        <v>0</v>
      </c>
      <c r="H8" s="3">
        <v>50</v>
      </c>
      <c r="I8" s="3">
        <f t="shared" si="0"/>
        <v>58.923345096213815</v>
      </c>
      <c r="J8" s="3">
        <f t="shared" si="1"/>
        <v>25.931188996877882</v>
      </c>
      <c r="K8" s="3"/>
      <c r="L8" s="3">
        <f t="shared" si="2"/>
        <v>8.3230940780408815</v>
      </c>
      <c r="M8" s="3">
        <f t="shared" si="3"/>
        <v>9.1749443524333465</v>
      </c>
      <c r="N8" s="3"/>
    </row>
    <row r="9" spans="1:14" x14ac:dyDescent="0.35">
      <c r="A9" s="3">
        <v>4</v>
      </c>
      <c r="B9" s="3">
        <v>0.2</v>
      </c>
      <c r="C9" s="3">
        <v>0.1</v>
      </c>
      <c r="D9" s="3">
        <v>0.4</v>
      </c>
      <c r="E9" s="3">
        <v>0.1</v>
      </c>
      <c r="F9" s="3">
        <v>0.2</v>
      </c>
      <c r="G9" s="3">
        <v>0</v>
      </c>
      <c r="H9" s="3">
        <v>50</v>
      </c>
      <c r="I9" s="3">
        <f t="shared" si="0"/>
        <v>47.138676076971052</v>
      </c>
      <c r="J9" s="3">
        <f t="shared" si="1"/>
        <v>25.931188996877882</v>
      </c>
      <c r="K9" s="3"/>
      <c r="L9" s="3">
        <f t="shared" si="2"/>
        <v>8.3230940780408815</v>
      </c>
      <c r="M9" s="3">
        <f t="shared" si="3"/>
        <v>9.1749443524333465</v>
      </c>
      <c r="N9" s="3"/>
    </row>
    <row r="10" spans="1:14" x14ac:dyDescent="0.35">
      <c r="A10" s="3">
        <v>5</v>
      </c>
      <c r="B10" s="3">
        <v>0.15</v>
      </c>
      <c r="C10" s="3">
        <v>0.1</v>
      </c>
      <c r="D10" s="3">
        <v>0.45</v>
      </c>
      <c r="E10" s="3">
        <v>0.1</v>
      </c>
      <c r="F10" s="3">
        <v>0.2</v>
      </c>
      <c r="G10" s="3">
        <v>0</v>
      </c>
      <c r="H10" s="3">
        <v>50</v>
      </c>
      <c r="I10" s="3">
        <f t="shared" si="0"/>
        <v>35.354007057728289</v>
      </c>
      <c r="J10" s="3">
        <f t="shared" si="1"/>
        <v>25.931188996877882</v>
      </c>
      <c r="K10" s="3"/>
      <c r="L10" s="3">
        <f t="shared" si="2"/>
        <v>8.3230940780408815</v>
      </c>
      <c r="M10" s="3">
        <f t="shared" si="3"/>
        <v>9.1749443524333465</v>
      </c>
      <c r="N10" s="3"/>
    </row>
    <row r="11" spans="1:14" x14ac:dyDescent="0.35">
      <c r="A11" s="3">
        <v>6</v>
      </c>
      <c r="B11" s="3">
        <v>0.1</v>
      </c>
      <c r="C11" s="3">
        <v>0.1</v>
      </c>
      <c r="D11" s="3">
        <v>0.5</v>
      </c>
      <c r="E11" s="3">
        <v>0.1</v>
      </c>
      <c r="F11" s="3">
        <v>0.2</v>
      </c>
      <c r="G11" s="3">
        <v>0</v>
      </c>
      <c r="H11" s="3">
        <v>50</v>
      </c>
      <c r="I11" s="3">
        <f t="shared" si="0"/>
        <v>23.569338038485526</v>
      </c>
      <c r="J11" s="3">
        <f t="shared" si="1"/>
        <v>25.931188996877882</v>
      </c>
      <c r="K11" s="3"/>
      <c r="L11" s="3">
        <f t="shared" si="2"/>
        <v>8.3230940780408815</v>
      </c>
      <c r="M11" s="3">
        <f t="shared" si="3"/>
        <v>9.1749443524333465</v>
      </c>
      <c r="N11" s="3"/>
    </row>
    <row r="12" spans="1:14" x14ac:dyDescent="0.35">
      <c r="A12" s="3">
        <v>7</v>
      </c>
      <c r="B12" s="3">
        <v>0.1</v>
      </c>
      <c r="C12" s="3">
        <v>0.1</v>
      </c>
      <c r="D12" s="3">
        <v>0.5</v>
      </c>
      <c r="E12" s="3">
        <v>0.1</v>
      </c>
      <c r="F12" s="3">
        <v>0.2</v>
      </c>
      <c r="G12" s="3">
        <v>0</v>
      </c>
      <c r="H12" s="3">
        <v>75</v>
      </c>
      <c r="I12" s="3">
        <f t="shared" si="0"/>
        <v>35.354007057728289</v>
      </c>
      <c r="J12" s="3">
        <f t="shared" si="1"/>
        <v>38.896783495316825</v>
      </c>
      <c r="K12" s="3"/>
      <c r="L12" s="3">
        <f t="shared" si="2"/>
        <v>12.484641117061324</v>
      </c>
      <c r="M12" s="3">
        <f t="shared" si="3"/>
        <v>13.762416528650016</v>
      </c>
      <c r="N12" s="3"/>
    </row>
    <row r="13" spans="1:14" x14ac:dyDescent="0.35">
      <c r="A13" s="3">
        <v>8</v>
      </c>
      <c r="B13" s="3">
        <v>0.1</v>
      </c>
      <c r="C13" s="3">
        <v>0.1</v>
      </c>
      <c r="D13" s="3">
        <v>0.6</v>
      </c>
      <c r="E13" s="3">
        <v>0</v>
      </c>
      <c r="F13" s="3">
        <v>0.2</v>
      </c>
      <c r="G13" s="3">
        <v>0</v>
      </c>
      <c r="H13" s="3">
        <v>75</v>
      </c>
      <c r="I13" s="3">
        <f t="shared" si="0"/>
        <v>35.354007057728289</v>
      </c>
      <c r="J13" s="3">
        <f t="shared" si="1"/>
        <v>38.896783495316825</v>
      </c>
      <c r="K13" s="3"/>
      <c r="L13" s="3">
        <f t="shared" si="2"/>
        <v>0</v>
      </c>
      <c r="M13" s="3">
        <f t="shared" si="3"/>
        <v>13.762416528650016</v>
      </c>
      <c r="N13" s="3"/>
    </row>
    <row r="14" spans="1:14" x14ac:dyDescent="0.35">
      <c r="A14" s="3">
        <v>9</v>
      </c>
      <c r="B14" s="3">
        <v>0</v>
      </c>
      <c r="C14" s="3">
        <v>0.1</v>
      </c>
      <c r="D14" s="3">
        <v>0.6</v>
      </c>
      <c r="E14" s="3">
        <v>0.1</v>
      </c>
      <c r="F14" s="3">
        <v>0.2</v>
      </c>
      <c r="G14" s="3">
        <v>0</v>
      </c>
      <c r="H14" s="3">
        <v>75</v>
      </c>
      <c r="I14" s="3">
        <f t="shared" si="0"/>
        <v>0</v>
      </c>
      <c r="J14" s="3">
        <f t="shared" si="1"/>
        <v>38.896783495316825</v>
      </c>
      <c r="K14" s="3"/>
      <c r="L14" s="3">
        <f t="shared" si="2"/>
        <v>12.484641117061324</v>
      </c>
      <c r="M14" s="3">
        <f t="shared" si="3"/>
        <v>13.762416528650016</v>
      </c>
      <c r="N14" s="3"/>
    </row>
    <row r="15" spans="1:14" x14ac:dyDescent="0.35">
      <c r="A15" s="3">
        <v>10</v>
      </c>
      <c r="B15" s="3">
        <v>0</v>
      </c>
      <c r="C15" s="3">
        <v>0.1</v>
      </c>
      <c r="D15" s="3">
        <v>0.6</v>
      </c>
      <c r="E15" s="3">
        <v>0.1</v>
      </c>
      <c r="F15" s="3">
        <v>0.2</v>
      </c>
      <c r="G15" s="3">
        <v>0</v>
      </c>
      <c r="H15" s="3">
        <v>75</v>
      </c>
      <c r="I15" s="3">
        <f t="shared" si="0"/>
        <v>0</v>
      </c>
      <c r="J15" s="3">
        <f t="shared" si="1"/>
        <v>38.896783495316825</v>
      </c>
      <c r="K15" s="3"/>
      <c r="L15" s="3">
        <f t="shared" si="2"/>
        <v>12.484641117061324</v>
      </c>
      <c r="M15" s="3">
        <f t="shared" si="3"/>
        <v>13.762416528650016</v>
      </c>
      <c r="N15" s="3"/>
    </row>
    <row r="16" spans="1:14" x14ac:dyDescent="0.35">
      <c r="A16" s="3">
        <v>11</v>
      </c>
      <c r="B16" s="3">
        <v>0.5</v>
      </c>
      <c r="C16" s="3">
        <v>0.1</v>
      </c>
      <c r="D16" s="3">
        <v>0.1</v>
      </c>
      <c r="E16" s="3">
        <v>0.1</v>
      </c>
      <c r="F16" s="3">
        <v>0.2</v>
      </c>
      <c r="G16" s="3">
        <v>0</v>
      </c>
      <c r="H16" s="3">
        <v>75</v>
      </c>
      <c r="I16" s="3">
        <f t="shared" si="0"/>
        <v>176.77003528864142</v>
      </c>
      <c r="J16" s="3">
        <f t="shared" si="1"/>
        <v>38.896783495316825</v>
      </c>
      <c r="K16" s="3"/>
      <c r="L16" s="3">
        <f t="shared" si="2"/>
        <v>12.484641117061324</v>
      </c>
      <c r="M16" s="3">
        <f t="shared" si="3"/>
        <v>13.762416528650016</v>
      </c>
      <c r="N16" s="3"/>
    </row>
    <row r="17" spans="1:14" x14ac:dyDescent="0.35">
      <c r="A17" s="3">
        <v>13</v>
      </c>
      <c r="B17" s="3">
        <v>0</v>
      </c>
      <c r="C17" s="3">
        <v>0.1</v>
      </c>
      <c r="D17" s="3">
        <v>0.6</v>
      </c>
      <c r="E17" s="3">
        <v>0.1</v>
      </c>
      <c r="F17" s="3">
        <v>0.2</v>
      </c>
      <c r="G17" s="3">
        <v>0</v>
      </c>
      <c r="H17" s="3">
        <v>75</v>
      </c>
      <c r="I17" s="3">
        <f t="shared" si="0"/>
        <v>0</v>
      </c>
      <c r="J17" s="3">
        <f t="shared" si="1"/>
        <v>38.896783495316825</v>
      </c>
      <c r="K17" s="3"/>
      <c r="L17" s="3">
        <f t="shared" si="2"/>
        <v>12.484641117061324</v>
      </c>
      <c r="M17" s="3">
        <f t="shared" si="3"/>
        <v>13.762416528650016</v>
      </c>
      <c r="N17" s="3"/>
    </row>
    <row r="18" spans="1:14" x14ac:dyDescent="0.35">
      <c r="A18" s="3">
        <v>15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f t="shared" si="0"/>
        <v>0</v>
      </c>
      <c r="J18" s="3">
        <f t="shared" si="1"/>
        <v>0</v>
      </c>
      <c r="K18" s="3"/>
      <c r="L18" s="3">
        <f t="shared" si="2"/>
        <v>0</v>
      </c>
      <c r="M18" s="3">
        <f t="shared" ref="M18" si="4">(F18*(H18/$F$3)*60000)/$F$4</f>
        <v>0</v>
      </c>
      <c r="N18" s="3"/>
    </row>
  </sheetData>
  <mergeCells count="7">
    <mergeCell ref="N1:N4"/>
    <mergeCell ref="H1:H4"/>
    <mergeCell ref="I1:I4"/>
    <mergeCell ref="J1:J4"/>
    <mergeCell ref="K1:K4"/>
    <mergeCell ref="L1:L4"/>
    <mergeCell ref="M1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Gerdes, Devin</dc:creator>
  <cp:keywords/>
  <dc:description/>
  <cp:lastModifiedBy>Wilson, Emma</cp:lastModifiedBy>
  <cp:revision/>
  <dcterms:created xsi:type="dcterms:W3CDTF">2025-11-03T21:40:42Z</dcterms:created>
  <dcterms:modified xsi:type="dcterms:W3CDTF">2026-03-05T18:50:47Z</dcterms:modified>
  <cp:category/>
  <cp:contentStatus/>
</cp:coreProperties>
</file>